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filterPrivacy="1" defaultThemeVersion="124226"/>
  <xr:revisionPtr revIDLastSave="0" documentId="13_ncr:1_{A0F1940B-4257-42FE-A052-127B78B0A6E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ope" sheetId="4" r:id="rId1"/>
    <sheet name="Sheet1" sheetId="5" r:id="rId2"/>
    <sheet name="ICSE Syllabus" sheetId="6" r:id="rId3"/>
    <sheet name="Sheet3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4" i="4" l="1"/>
  <c r="AB15" i="4"/>
  <c r="AB14" i="4"/>
  <c r="AB16" i="4" s="1"/>
  <c r="AA14" i="4"/>
  <c r="Z14" i="4"/>
  <c r="Z15" i="4" s="1"/>
  <c r="Z16" i="4" s="1"/>
  <c r="Z8" i="4"/>
  <c r="AA7" i="4"/>
  <c r="AA8" i="4" s="1"/>
  <c r="AB7" i="4"/>
  <c r="AB8" i="4" s="1"/>
  <c r="AC7" i="4"/>
  <c r="AC8" i="4" s="1"/>
  <c r="Z7" i="4"/>
  <c r="AC15" i="4" l="1"/>
  <c r="AC16" i="4" s="1"/>
  <c r="AA15" i="4"/>
  <c r="AA16" i="4" s="1"/>
  <c r="N14" i="4" l="1"/>
  <c r="L14" i="4"/>
  <c r="L15" i="4" s="1"/>
  <c r="L16" i="4" s="1"/>
  <c r="O14" i="4"/>
  <c r="O15" i="4" s="1"/>
  <c r="I15" i="4"/>
  <c r="M14" i="4"/>
  <c r="J16" i="4"/>
  <c r="J15" i="4"/>
  <c r="J14" i="4"/>
  <c r="I16" i="4"/>
  <c r="I14" i="4"/>
  <c r="H14" i="4"/>
  <c r="H15" i="4" s="1"/>
  <c r="H16" i="4" s="1"/>
  <c r="F14" i="4"/>
  <c r="E14" i="4"/>
  <c r="D76" i="6"/>
  <c r="O16" i="4" l="1"/>
  <c r="N15" i="4"/>
  <c r="N16" i="4" s="1"/>
  <c r="M15" i="4"/>
  <c r="M16" i="4" s="1"/>
  <c r="E15" i="4"/>
  <c r="E16" i="4" s="1"/>
  <c r="F15" i="4"/>
  <c r="F16" i="4" s="1"/>
</calcChain>
</file>

<file path=xl/sharedStrings.xml><?xml version="1.0" encoding="utf-8"?>
<sst xmlns="http://schemas.openxmlformats.org/spreadsheetml/2006/main" count="301" uniqueCount="141">
  <si>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</si>
  <si>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</si>
  <si>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</si>
  <si>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</si>
  <si>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</si>
  <si>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</si>
  <si>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</si>
  <si>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</si>
  <si>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</si>
  <si>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</si>
  <si>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</si>
  <si>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Agile, PM</t>
  </si>
  <si>
    <t>Cloud, AWS, GCP</t>
  </si>
  <si>
    <t>Weeks</t>
  </si>
  <si>
    <t>Total</t>
  </si>
  <si>
    <t>Faculty</t>
  </si>
  <si>
    <t>Hours / week</t>
  </si>
  <si>
    <t>Lab / week</t>
  </si>
  <si>
    <t>Fees (Rs)</t>
  </si>
  <si>
    <t>GST (18%)</t>
  </si>
  <si>
    <t>.Net (C#, VB.Net)</t>
  </si>
  <si>
    <t>Advanced .Net</t>
  </si>
  <si>
    <t>PMP</t>
  </si>
  <si>
    <t>Docker &amp; Kubernetes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</si>
  <si>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</si>
  <si>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</si>
  <si>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</si>
  <si>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</si>
  <si>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</si>
  <si>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</si>
  <si>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</si>
  <si>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</si>
  <si>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Y</t>
  </si>
  <si>
    <t>N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</si>
  <si>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</si>
  <si>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</si>
  <si>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</si>
  <si>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</si>
  <si>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</si>
  <si>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</si>
  <si>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</si>
  <si>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</si>
  <si>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</si>
  <si>
    <t>School Curricular IT</t>
  </si>
  <si>
    <t>ICSE IX</t>
  </si>
  <si>
    <t>Introduction to Object Oriented Programming concepts</t>
  </si>
  <si>
    <t>Elementary Concept of Objects and Classes</t>
  </si>
  <si>
    <t>Values and data types</t>
  </si>
  <si>
    <t>Operators in Java</t>
  </si>
  <si>
    <t>Input in Java</t>
  </si>
  <si>
    <t>Mathematical Library Methods</t>
  </si>
  <si>
    <t>Conditional constructs in Java</t>
  </si>
  <si>
    <t xml:space="preserve"> Iterative constructs in Java</t>
  </si>
  <si>
    <t>Nested for loops</t>
  </si>
  <si>
    <t>Computing and Ethics</t>
  </si>
  <si>
    <t>INTERNAL ASSESSMENT - 100 Marks</t>
  </si>
  <si>
    <t>This segment of the syllabus is totally practical-oriented. The accent is on acquiring basic programming skills quickly and efficiently.</t>
  </si>
  <si>
    <t>Programming Assignments (Class IX)</t>
  </si>
  <si>
    <t>Students are expected to do a minimum of 20 assignments during the whole year to reinforce the concepts studied in the class.</t>
  </si>
  <si>
    <t>SlNo</t>
  </si>
  <si>
    <t>Subject</t>
  </si>
  <si>
    <t>ICSE X</t>
  </si>
  <si>
    <t>Semister -1 (40 marks)</t>
  </si>
  <si>
    <t>Constructors (Complete Unit)</t>
  </si>
  <si>
    <t>User-defined methods (Complete unit)</t>
  </si>
  <si>
    <t>Class as basis of all computation (Complete unit)</t>
  </si>
  <si>
    <t>Revision of class IX syllabus (Complete unit)</t>
  </si>
  <si>
    <t>Library Classes (Complete Unit)</t>
  </si>
  <si>
    <t>Encapsulation (Complete Unit)</t>
  </si>
  <si>
    <t>Arrays (Complete Unit)</t>
  </si>
  <si>
    <t>String Handling (Complete Unit)</t>
  </si>
  <si>
    <t>Semister -2 (40 marks)</t>
  </si>
  <si>
    <t>This segment of the syllabus is totally practical oriented. The accent is on acquiring basic programming skills quickly and efficiently.</t>
  </si>
  <si>
    <t>Programming Assignments (Class X)</t>
  </si>
  <si>
    <t>The students should complete a minimum of 20 laboratory assignments during the whole year to reinforce the concepts studied in class.</t>
  </si>
  <si>
    <t>ICSE XII</t>
  </si>
  <si>
    <t>Section A: Basic Computer Hardware and Software</t>
  </si>
  <si>
    <t>Numbers</t>
  </si>
  <si>
    <t>Encodings</t>
  </si>
  <si>
    <t>Propositional logic, Hardware implementation, Arithmetic operations</t>
  </si>
  <si>
    <t>ICSE XI</t>
  </si>
  <si>
    <t>Section B</t>
  </si>
  <si>
    <t>Introduction to Object Oriented Programming using Java</t>
  </si>
  <si>
    <t>Objects</t>
  </si>
  <si>
    <t>Primitive values, Wrapper classes, Types and casting</t>
  </si>
  <si>
    <t>Variables, Expressions</t>
  </si>
  <si>
    <t>Statements,Scope</t>
  </si>
  <si>
    <t>Methods and Constructors</t>
  </si>
  <si>
    <t>Arrays,Strings</t>
  </si>
  <si>
    <t>Section C</t>
  </si>
  <si>
    <t>Basic input/output Data File Handling (Binary and Text)</t>
  </si>
  <si>
    <t>Recursion</t>
  </si>
  <si>
    <t>Implementation of algorithms to solve problems</t>
  </si>
  <si>
    <t>Packages</t>
  </si>
  <si>
    <t>Trends in computing and ethical issues</t>
  </si>
  <si>
    <t>Section A</t>
  </si>
  <si>
    <t>Boolean Algebra</t>
  </si>
  <si>
    <t>Computer Hardware</t>
  </si>
  <si>
    <t>Arrays, Strings</t>
  </si>
  <si>
    <t>Methods</t>
  </si>
  <si>
    <t>Statements, Scope</t>
  </si>
  <si>
    <t>Primitive values, Wrapper classes, Types and casting.</t>
  </si>
  <si>
    <t>Programming in Java (Review of Class XI Sections B and C)</t>
  </si>
  <si>
    <t>Inheritance, Interfaces and Polymorphism</t>
  </si>
  <si>
    <t>Data structures</t>
  </si>
  <si>
    <t>Paper I - Theory</t>
  </si>
  <si>
    <t>PAPER II - PRACTICAL</t>
  </si>
  <si>
    <t>Marks</t>
  </si>
  <si>
    <t>Education at our venue</t>
  </si>
  <si>
    <t>School</t>
  </si>
  <si>
    <t>IT professional</t>
  </si>
  <si>
    <t>Engineering Students</t>
  </si>
  <si>
    <t>WB IX-XII</t>
  </si>
  <si>
    <t>ICSE IX-XII</t>
  </si>
  <si>
    <t>CBSE IX-XII</t>
  </si>
  <si>
    <t>Grooming &amp; Language</t>
  </si>
  <si>
    <t>Certification Preparation</t>
  </si>
  <si>
    <t>Interview Training Availability</t>
  </si>
  <si>
    <t>Weeks for Certification &amp; Interview Training</t>
  </si>
  <si>
    <t>Actual Fees ₹</t>
  </si>
  <si>
    <t>GST ₹ (18%)</t>
  </si>
  <si>
    <t>Actual Fees With GST ₹</t>
  </si>
  <si>
    <t>For All Courses: Duration Becomes 24 Weeks &amp; Discount Is Unavailable If Certification Preperation Or Interview Training Are Opted For</t>
  </si>
  <si>
    <t>Coursera</t>
  </si>
  <si>
    <t>Yes</t>
  </si>
  <si>
    <t>Internal</t>
  </si>
  <si>
    <t xml:space="preserve"> CLP – C Certified Professional Programmer Certification</t>
  </si>
  <si>
    <t>CLP</t>
  </si>
  <si>
    <t>CPP – C++ Certified Professional Programmer</t>
  </si>
  <si>
    <t>CPP</t>
  </si>
  <si>
    <t>Oracle Certified Associate - Java SE 8 Programmer</t>
  </si>
  <si>
    <t>OCA</t>
  </si>
  <si>
    <t>Java Spring Framework 4 and Spring Certification</t>
  </si>
  <si>
    <t>JSFSC</t>
  </si>
  <si>
    <t>Microsoft - Certified Solution Developer (MCAD/MCSD)</t>
  </si>
  <si>
    <t>MCSD</t>
  </si>
  <si>
    <t>Life Project</t>
  </si>
  <si>
    <t>MySQL</t>
  </si>
  <si>
    <t>SQL Server</t>
  </si>
  <si>
    <t>Oracle</t>
  </si>
  <si>
    <t>Firebase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</si>
</sst>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Trebuchet MS"/>
      <family val="2"/>
    </font>
    <font>
      <b/>
      <sz val="12"/>
      <color rgb="FF000000"/>
      <name val="Trebuchet MS"/>
      <family val="2"/>
    </font>
    <font>
      <sz val="11"/>
      <color theme="1"/>
      <name val="Oxygen"/>
    </font>
  </fonts>
  <fills count="10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4" borderId="8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3" fillId="0" borderId="0" xfId="0" applyFont="1"/>
    <xf numFmtId="0" fontId="0" fillId="0" borderId="0" xfId="0" applyAlignment="1">
      <alignment horizontal="center"/>
    </xf>
    <xf numFmtId="0" fontId="6" fillId="8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8" fillId="0" borderId="1" xfId="0" applyFont="1" applyBorder="1"/>
    <xf numFmtId="0" fontId="9" fillId="0" borderId="1" xfId="0" applyFont="1" applyBorder="1"/>
    <xf numFmtId="0" fontId="0" fillId="0" borderId="8" xfId="0" applyBorder="1" applyAlignment="1">
      <alignment horizontal="center"/>
    </xf>
    <xf numFmtId="0" fontId="8" fillId="0" borderId="8" xfId="0" applyFont="1" applyBorder="1"/>
    <xf numFmtId="0" fontId="2" fillId="2" borderId="1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9" borderId="12" xfId="0" applyFont="1" applyFill="1" applyBorder="1" applyAlignment="1">
      <alignment horizontal="center" vertical="top" wrapText="1"/>
    </xf>
    <xf numFmtId="0" fontId="1" fillId="9" borderId="13" xfId="0" applyFont="1" applyFill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center" vertical="top" wrapText="1"/>
    </xf>
    <xf numFmtId="0" fontId="1" fillId="0" borderId="14" xfId="0" applyFont="1" applyBorder="1" applyAlignment="1">
      <alignment horizontal="center" vertical="top" wrapText="1"/>
    </xf>
    <xf numFmtId="0" fontId="1" fillId="0" borderId="15" xfId="0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 vertical="top" wrapText="1"/>
    </xf>
    <xf numFmtId="0" fontId="1" fillId="0" borderId="11" xfId="0" applyFont="1" applyBorder="1" applyAlignment="1">
      <alignment horizontal="center" vertical="top" wrapText="1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5"/>
  <sheetViews>
    <sheetView tabSelected="1" zoomScale="80" zoomScaleNormal="80" workbookViewId="0">
      <pane xSplit="1" ySplit="2" topLeftCell="K3" activePane="bottomRight" state="frozen"/>
      <selection pane="topRight" activeCell="C1" sqref="C1"/>
      <selection pane="bottomLeft" activeCell="A3" sqref="A3"/>
      <selection pane="bottomRight" activeCell="D17" sqref="D17"/>
    </sheetView>
  </sheetViews>
  <sheetFormatPr defaultColWidth="12.5546875" defaultRowHeight="14.4" x14ac:dyDescent="0.3"/>
  <cols>
    <col min="1" max="1" width="15.109375" style="1" customWidth="1"/>
    <col min="2" max="2" width="11.21875" style="1" bestFit="1" customWidth="1"/>
    <col min="3" max="5" width="12.109375" style="1" customWidth="1"/>
    <col min="6" max="6" width="12" style="1" customWidth="1"/>
    <col min="7" max="8" width="11.5546875" style="1" customWidth="1"/>
    <col min="9" max="9" width="12" style="1" customWidth="1"/>
    <col min="10" max="10" width="11.5546875" style="1" customWidth="1"/>
    <col min="11" max="11" width="11.88671875" style="1" customWidth="1"/>
    <col min="12" max="12" width="10.6640625" style="1" customWidth="1"/>
    <col min="13" max="13" width="11.5546875" style="1" customWidth="1"/>
    <col min="14" max="14" width="8.88671875" style="1" bestFit="1" customWidth="1"/>
    <col min="15" max="16" width="10.6640625" style="1" customWidth="1"/>
    <col min="17" max="17" width="8.88671875" style="1" customWidth="1"/>
    <col min="18" max="18" width="8.88671875" style="1" bestFit="1" customWidth="1"/>
    <col min="19" max="19" width="11.109375" style="1" customWidth="1"/>
    <col min="20" max="20" width="8.88671875" style="1" bestFit="1" customWidth="1"/>
    <col min="21" max="21" width="8.88671875" style="1" customWidth="1"/>
    <col min="22" max="22" width="11.33203125" style="1" bestFit="1" customWidth="1"/>
    <col min="23" max="24" width="11.33203125" style="1" customWidth="1"/>
    <col min="25" max="29" width="14.44140625" style="1" customWidth="1"/>
    <col min="30" max="30" width="9.33203125" style="1" bestFit="1" customWidth="1"/>
    <col min="31" max="31" width="14.33203125" style="1" customWidth="1"/>
    <col min="32" max="16384" width="12.5546875" style="1"/>
  </cols>
  <sheetData>
    <row r="1" spans="1:31" ht="6.6" customHeight="1" thickBot="1" x14ac:dyDescent="0.35"/>
    <row r="2" spans="1:31" ht="55.8" thickBot="1" x14ac:dyDescent="0.35">
      <c r="A2" s="7"/>
      <c r="B2" s="8" t="s">
        <v>5</v>
      </c>
      <c r="C2" s="8" t="s">
        <v>27</v>
      </c>
      <c r="D2" s="8" t="s">
        <v>40</v>
      </c>
      <c r="E2" s="8" t="s">
        <v>0</v>
      </c>
      <c r="F2" s="9" t="s">
        <v>1</v>
      </c>
      <c r="G2" s="9" t="s">
        <v>7</v>
      </c>
      <c r="H2" s="9" t="s">
        <v>3</v>
      </c>
      <c r="I2" s="9" t="s">
        <v>4</v>
      </c>
      <c r="J2" s="9" t="s">
        <v>20</v>
      </c>
      <c r="K2" s="9" t="s">
        <v>21</v>
      </c>
      <c r="L2" s="9" t="s">
        <v>31</v>
      </c>
      <c r="M2" s="9" t="s">
        <v>9</v>
      </c>
      <c r="N2" s="9" t="s">
        <v>10</v>
      </c>
      <c r="O2" s="9" t="s">
        <v>34</v>
      </c>
      <c r="P2" s="10" t="s">
        <v>22</v>
      </c>
      <c r="Q2" s="10" t="s">
        <v>11</v>
      </c>
      <c r="R2" s="8" t="s">
        <v>8</v>
      </c>
      <c r="S2" s="8" t="s">
        <v>24</v>
      </c>
      <c r="T2" s="8" t="s">
        <v>2</v>
      </c>
      <c r="U2" s="8" t="s">
        <v>23</v>
      </c>
      <c r="V2" s="8" t="s">
        <v>12</v>
      </c>
      <c r="W2" s="8" t="s">
        <v>35</v>
      </c>
      <c r="X2" s="8" t="s">
        <v>36</v>
      </c>
      <c r="Y2" s="12" t="s">
        <v>26</v>
      </c>
      <c r="Z2" s="7" t="s">
        <v>137</v>
      </c>
      <c r="AA2" s="7" t="s">
        <v>138</v>
      </c>
      <c r="AB2" s="7" t="s">
        <v>139</v>
      </c>
      <c r="AC2" s="7" t="s">
        <v>140</v>
      </c>
      <c r="AD2" s="11" t="s">
        <v>6</v>
      </c>
      <c r="AE2" s="11" t="s">
        <v>25</v>
      </c>
    </row>
    <row r="3" spans="1:31" x14ac:dyDescent="0.3">
      <c r="A3" s="5" t="s">
        <v>13</v>
      </c>
      <c r="B3" s="6">
        <v>12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  <c r="AC3" s="6">
        <v>12</v>
      </c>
      <c r="AD3" s="6">
        <v>12</v>
      </c>
      <c r="AE3" s="6">
        <v>12</v>
      </c>
    </row>
    <row r="4" spans="1:31" x14ac:dyDescent="0.3">
      <c r="A4" s="3" t="s">
        <v>16</v>
      </c>
      <c r="B4" s="2">
        <v>2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  <c r="AC4" s="2">
        <v>2</v>
      </c>
      <c r="AD4" s="2">
        <v>2</v>
      </c>
      <c r="AE4" s="2">
        <v>2</v>
      </c>
    </row>
    <row r="5" spans="1:31" x14ac:dyDescent="0.3">
      <c r="A5" s="3" t="s">
        <v>17</v>
      </c>
      <c r="B5" s="2">
        <v>2</v>
      </c>
      <c r="C5" s="2">
        <v>2</v>
      </c>
      <c r="D5" s="2"/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2</v>
      </c>
    </row>
    <row r="6" spans="1:31" x14ac:dyDescent="0.3">
      <c r="A6" s="3" t="s">
        <v>18</v>
      </c>
      <c r="B6" s="2">
        <v>3000</v>
      </c>
      <c r="C6" s="2">
        <v>3000</v>
      </c>
      <c r="D6" s="2">
        <v>4500</v>
      </c>
      <c r="E6" s="2">
        <v>3000</v>
      </c>
      <c r="F6" s="2">
        <v>3000</v>
      </c>
      <c r="G6" s="2">
        <v>3000</v>
      </c>
      <c r="H6" s="2">
        <v>4500</v>
      </c>
      <c r="I6" s="2">
        <v>4500</v>
      </c>
      <c r="J6" s="2">
        <v>4500</v>
      </c>
      <c r="K6" s="2">
        <v>4500</v>
      </c>
      <c r="L6" s="2">
        <v>4500</v>
      </c>
      <c r="M6" s="2">
        <v>4500</v>
      </c>
      <c r="N6" s="2">
        <v>4500</v>
      </c>
      <c r="O6" s="2">
        <v>4500</v>
      </c>
      <c r="P6" s="2">
        <v>4500</v>
      </c>
      <c r="Q6" s="2">
        <v>4500</v>
      </c>
      <c r="R6" s="2">
        <v>3000</v>
      </c>
      <c r="S6" s="2">
        <v>4500</v>
      </c>
      <c r="T6" s="2">
        <v>4500</v>
      </c>
      <c r="U6" s="2">
        <v>4500</v>
      </c>
      <c r="V6" s="2">
        <v>4500</v>
      </c>
      <c r="W6" s="2">
        <v>4500</v>
      </c>
      <c r="X6" s="2">
        <v>4500</v>
      </c>
      <c r="Y6" s="2">
        <v>4500</v>
      </c>
      <c r="Z6" s="2">
        <v>4500</v>
      </c>
      <c r="AA6" s="2">
        <v>4500</v>
      </c>
      <c r="AB6" s="2">
        <v>4500</v>
      </c>
      <c r="AC6" s="2">
        <v>4500</v>
      </c>
      <c r="AD6" s="2">
        <v>3000</v>
      </c>
      <c r="AE6" s="2">
        <v>4500</v>
      </c>
    </row>
    <row r="7" spans="1:31" x14ac:dyDescent="0.3">
      <c r="A7" s="3" t="s">
        <v>19</v>
      </c>
      <c r="B7" s="2">
        <v>540</v>
      </c>
      <c r="C7" s="2">
        <v>540</v>
      </c>
      <c r="D7" s="2">
        <v>810</v>
      </c>
      <c r="E7" s="2">
        <v>540</v>
      </c>
      <c r="F7" s="2">
        <v>540</v>
      </c>
      <c r="G7" s="2">
        <v>540</v>
      </c>
      <c r="H7" s="2">
        <v>810</v>
      </c>
      <c r="I7" s="2">
        <v>810</v>
      </c>
      <c r="J7" s="2">
        <v>810</v>
      </c>
      <c r="K7" s="2">
        <v>810</v>
      </c>
      <c r="L7" s="2">
        <v>810</v>
      </c>
      <c r="M7" s="2">
        <v>810</v>
      </c>
      <c r="N7" s="2">
        <v>810</v>
      </c>
      <c r="O7" s="2">
        <v>810</v>
      </c>
      <c r="P7" s="2">
        <v>810</v>
      </c>
      <c r="Q7" s="2">
        <v>810</v>
      </c>
      <c r="R7" s="2">
        <v>540</v>
      </c>
      <c r="S7" s="2">
        <v>810</v>
      </c>
      <c r="T7" s="2">
        <v>810</v>
      </c>
      <c r="U7" s="2">
        <v>810</v>
      </c>
      <c r="V7" s="2">
        <v>810</v>
      </c>
      <c r="W7" s="2">
        <v>810</v>
      </c>
      <c r="X7" s="2">
        <v>810</v>
      </c>
      <c r="Y7" s="2">
        <v>810</v>
      </c>
      <c r="Z7" s="2">
        <f>(18/100*Z6)</f>
        <v>810</v>
      </c>
      <c r="AA7" s="2">
        <f t="shared" ref="AA7:AC7" si="0">(18/100*AA6)</f>
        <v>810</v>
      </c>
      <c r="AB7" s="2">
        <f t="shared" si="0"/>
        <v>810</v>
      </c>
      <c r="AC7" s="2">
        <f t="shared" si="0"/>
        <v>810</v>
      </c>
      <c r="AD7" s="2">
        <v>540</v>
      </c>
      <c r="AE7" s="2">
        <v>810</v>
      </c>
    </row>
    <row r="8" spans="1:31" ht="15" thickBot="1" x14ac:dyDescent="0.35">
      <c r="A8" s="3" t="s">
        <v>14</v>
      </c>
      <c r="B8" s="2">
        <v>3540</v>
      </c>
      <c r="C8" s="2">
        <v>3540</v>
      </c>
      <c r="D8" s="2">
        <v>5310</v>
      </c>
      <c r="E8" s="2">
        <v>3540</v>
      </c>
      <c r="F8" s="2">
        <v>3540</v>
      </c>
      <c r="G8" s="2">
        <v>3540</v>
      </c>
      <c r="H8" s="2">
        <v>5310</v>
      </c>
      <c r="I8" s="2">
        <v>5310</v>
      </c>
      <c r="J8" s="2">
        <v>5310</v>
      </c>
      <c r="K8" s="2">
        <v>5310</v>
      </c>
      <c r="L8" s="2">
        <v>5310</v>
      </c>
      <c r="M8" s="2">
        <v>5310</v>
      </c>
      <c r="N8" s="2">
        <v>5310</v>
      </c>
      <c r="O8" s="2">
        <v>5310</v>
      </c>
      <c r="P8" s="2">
        <v>5310</v>
      </c>
      <c r="Q8" s="2">
        <v>5310</v>
      </c>
      <c r="R8" s="2">
        <v>3540</v>
      </c>
      <c r="S8" s="2">
        <v>5310</v>
      </c>
      <c r="T8" s="2">
        <v>5310</v>
      </c>
      <c r="U8" s="2">
        <v>5310</v>
      </c>
      <c r="V8" s="2">
        <v>5310</v>
      </c>
      <c r="W8" s="2">
        <v>5310</v>
      </c>
      <c r="X8" s="2">
        <v>5310</v>
      </c>
      <c r="Y8" s="2">
        <v>5310</v>
      </c>
      <c r="Z8" s="2">
        <f>SUM(Z6:Z7)</f>
        <v>5310</v>
      </c>
      <c r="AA8" s="2">
        <f t="shared" ref="AA8:AC8" si="1">SUM(AA6:AA7)</f>
        <v>5310</v>
      </c>
      <c r="AB8" s="2">
        <f t="shared" si="1"/>
        <v>5310</v>
      </c>
      <c r="AC8" s="2">
        <f t="shared" si="1"/>
        <v>5310</v>
      </c>
      <c r="AD8" s="2">
        <v>3540</v>
      </c>
      <c r="AE8" s="2">
        <v>5310</v>
      </c>
    </row>
    <row r="9" spans="1:31" ht="21.6" customHeight="1" thickBot="1" x14ac:dyDescent="0.35">
      <c r="A9" s="37" t="s">
        <v>122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1:31" ht="27.6" x14ac:dyDescent="0.3">
      <c r="A10" s="32" t="s">
        <v>116</v>
      </c>
      <c r="B10" s="33" t="s">
        <v>125</v>
      </c>
      <c r="C10" s="13" t="s">
        <v>125</v>
      </c>
      <c r="D10" s="13" t="s">
        <v>125</v>
      </c>
      <c r="E10" s="13" t="s">
        <v>127</v>
      </c>
      <c r="F10" s="13" t="s">
        <v>129</v>
      </c>
      <c r="G10" s="13" t="s">
        <v>125</v>
      </c>
      <c r="H10" s="13" t="s">
        <v>131</v>
      </c>
      <c r="I10" s="13" t="s">
        <v>133</v>
      </c>
      <c r="J10" s="41" t="s">
        <v>135</v>
      </c>
      <c r="K10" s="42"/>
      <c r="L10" s="13" t="s">
        <v>123</v>
      </c>
      <c r="M10" s="13" t="s">
        <v>123</v>
      </c>
      <c r="N10" s="13" t="s">
        <v>123</v>
      </c>
      <c r="O10" s="13" t="s">
        <v>123</v>
      </c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 t="s">
        <v>123</v>
      </c>
      <c r="AA10" s="13" t="s">
        <v>123</v>
      </c>
      <c r="AB10" s="13" t="s">
        <v>123</v>
      </c>
      <c r="AC10" s="13" t="s">
        <v>123</v>
      </c>
      <c r="AD10" s="13"/>
      <c r="AE10" s="13"/>
    </row>
    <row r="11" spans="1:31" ht="41.4" x14ac:dyDescent="0.3">
      <c r="A11" s="32" t="s">
        <v>117</v>
      </c>
      <c r="B11" s="13"/>
      <c r="C11" s="13"/>
      <c r="D11" s="13"/>
      <c r="E11" s="13" t="s">
        <v>124</v>
      </c>
      <c r="F11" s="13" t="s">
        <v>124</v>
      </c>
      <c r="G11" s="13"/>
      <c r="H11" s="13" t="s">
        <v>124</v>
      </c>
      <c r="I11" s="13" t="s">
        <v>124</v>
      </c>
      <c r="J11" s="43" t="s">
        <v>124</v>
      </c>
      <c r="K11" s="44"/>
      <c r="L11" s="13" t="s">
        <v>124</v>
      </c>
      <c r="M11" s="13" t="s">
        <v>124</v>
      </c>
      <c r="N11" s="13" t="s">
        <v>124</v>
      </c>
      <c r="O11" s="13" t="s">
        <v>124</v>
      </c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 t="s">
        <v>124</v>
      </c>
      <c r="AA11" s="13" t="s">
        <v>124</v>
      </c>
      <c r="AB11" s="13" t="s">
        <v>124</v>
      </c>
      <c r="AC11" s="13" t="s">
        <v>124</v>
      </c>
      <c r="AD11" s="13"/>
      <c r="AE11" s="13"/>
    </row>
    <row r="12" spans="1:31" x14ac:dyDescent="0.3">
      <c r="A12" s="32" t="s">
        <v>136</v>
      </c>
      <c r="B12" s="13"/>
      <c r="C12" s="13"/>
      <c r="D12" s="13"/>
      <c r="E12" s="13"/>
      <c r="F12" s="13"/>
      <c r="G12" s="13"/>
      <c r="H12" s="13"/>
      <c r="I12" s="13"/>
      <c r="J12" s="36"/>
      <c r="K12" s="34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1" ht="55.2" x14ac:dyDescent="0.3">
      <c r="A13" s="32" t="s">
        <v>118</v>
      </c>
      <c r="B13" s="13">
        <v>12</v>
      </c>
      <c r="C13" s="13">
        <v>12</v>
      </c>
      <c r="D13" s="13">
        <v>12</v>
      </c>
      <c r="E13" s="13">
        <v>12</v>
      </c>
      <c r="F13" s="13">
        <v>12</v>
      </c>
      <c r="G13" s="13"/>
      <c r="H13" s="13">
        <v>20</v>
      </c>
      <c r="I13" s="13">
        <v>52</v>
      </c>
      <c r="J13" s="43">
        <v>52</v>
      </c>
      <c r="K13" s="44"/>
      <c r="L13" s="13">
        <v>12</v>
      </c>
      <c r="M13" s="13">
        <v>12</v>
      </c>
      <c r="N13" s="13"/>
      <c r="O13" s="13">
        <v>12</v>
      </c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>
        <v>12</v>
      </c>
      <c r="AA13" s="13">
        <v>12</v>
      </c>
      <c r="AB13" s="13">
        <v>12</v>
      </c>
      <c r="AC13" s="13">
        <v>12</v>
      </c>
      <c r="AD13" s="13"/>
      <c r="AE13" s="13"/>
    </row>
    <row r="14" spans="1:31" x14ac:dyDescent="0.3">
      <c r="A14" s="32" t="s">
        <v>119</v>
      </c>
      <c r="B14" s="2">
        <v>3000</v>
      </c>
      <c r="C14" s="2">
        <v>3000</v>
      </c>
      <c r="D14" s="13">
        <v>4500</v>
      </c>
      <c r="E14" s="13">
        <f>(E6*2)</f>
        <v>6000</v>
      </c>
      <c r="F14" s="13">
        <f>(F6*2)</f>
        <v>6000</v>
      </c>
      <c r="G14" s="13"/>
      <c r="H14" s="13">
        <f>H6*2</f>
        <v>9000</v>
      </c>
      <c r="I14" s="13">
        <f t="shared" ref="I14:J16" si="2">I6*5</f>
        <v>22500</v>
      </c>
      <c r="J14" s="43">
        <f t="shared" si="2"/>
        <v>22500</v>
      </c>
      <c r="K14" s="44"/>
      <c r="L14" s="13">
        <f>L6*2</f>
        <v>9000</v>
      </c>
      <c r="M14" s="13">
        <f>M6*2</f>
        <v>9000</v>
      </c>
      <c r="N14" s="13">
        <f>N6*2</f>
        <v>9000</v>
      </c>
      <c r="O14" s="13">
        <f t="shared" ref="O14" si="3">O6*2</f>
        <v>9000</v>
      </c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>
        <f t="shared" ref="Z14:AC14" si="4">Z6*2</f>
        <v>9000</v>
      </c>
      <c r="AA14" s="13">
        <f t="shared" si="4"/>
        <v>9000</v>
      </c>
      <c r="AB14" s="13">
        <f t="shared" si="4"/>
        <v>9000</v>
      </c>
      <c r="AC14" s="13">
        <f t="shared" si="4"/>
        <v>9000</v>
      </c>
      <c r="AD14" s="13"/>
      <c r="AE14" s="13"/>
    </row>
    <row r="15" spans="1:31" x14ac:dyDescent="0.3">
      <c r="A15" s="32" t="s">
        <v>120</v>
      </c>
      <c r="B15" s="2">
        <v>540</v>
      </c>
      <c r="C15" s="2">
        <v>540</v>
      </c>
      <c r="D15" s="13">
        <v>810</v>
      </c>
      <c r="E15" s="13">
        <f>(18*E14)/100</f>
        <v>1080</v>
      </c>
      <c r="F15" s="13">
        <f>(18*F14)/100</f>
        <v>1080</v>
      </c>
      <c r="G15" s="13"/>
      <c r="H15" s="13">
        <f t="shared" ref="H15" si="5">(18*H14)/100</f>
        <v>1620</v>
      </c>
      <c r="I15" s="13">
        <f t="shared" si="2"/>
        <v>4050</v>
      </c>
      <c r="J15" s="43">
        <f t="shared" si="2"/>
        <v>4050</v>
      </c>
      <c r="K15" s="44"/>
      <c r="L15" s="34">
        <f>(18*L14)/100</f>
        <v>1620</v>
      </c>
      <c r="M15" s="34">
        <f>(18*M14)/100</f>
        <v>1620</v>
      </c>
      <c r="N15" s="34">
        <f>(18*N14)/100</f>
        <v>1620</v>
      </c>
      <c r="O15" s="34">
        <f t="shared" ref="O15" si="6">(18*O14)/100</f>
        <v>1620</v>
      </c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34">
        <f t="shared" ref="Z15:AC15" si="7">(18*Z14)/100</f>
        <v>1620</v>
      </c>
      <c r="AA15" s="34">
        <f t="shared" si="7"/>
        <v>1620</v>
      </c>
      <c r="AB15" s="34">
        <f t="shared" si="7"/>
        <v>1620</v>
      </c>
      <c r="AC15" s="34">
        <f t="shared" si="7"/>
        <v>1620</v>
      </c>
      <c r="AD15" s="13"/>
      <c r="AE15" s="13"/>
    </row>
    <row r="16" spans="1:31" ht="27.6" x14ac:dyDescent="0.3">
      <c r="A16" s="32" t="s">
        <v>121</v>
      </c>
      <c r="B16" s="2">
        <v>3540</v>
      </c>
      <c r="C16" s="2">
        <v>3540</v>
      </c>
      <c r="D16" s="13">
        <v>5310</v>
      </c>
      <c r="E16" s="13">
        <f>SUM(E14:E15)</f>
        <v>7080</v>
      </c>
      <c r="F16" s="13">
        <f>SUM(F14:F15)</f>
        <v>7080</v>
      </c>
      <c r="G16" s="13"/>
      <c r="H16" s="13">
        <f t="shared" ref="H16" si="8">SUM(H14:H15)</f>
        <v>10620</v>
      </c>
      <c r="I16" s="13">
        <f t="shared" si="2"/>
        <v>26550</v>
      </c>
      <c r="J16" s="43">
        <f t="shared" si="2"/>
        <v>26550</v>
      </c>
      <c r="K16" s="44"/>
      <c r="L16" s="13">
        <f>SUM(L14:L15)</f>
        <v>10620</v>
      </c>
      <c r="M16" s="13">
        <f>SUM(M14:M15)</f>
        <v>10620</v>
      </c>
      <c r="N16" s="13">
        <f>SUM(N14:N15)</f>
        <v>10620</v>
      </c>
      <c r="O16" s="13">
        <f t="shared" ref="O16" si="9">SUM(O14:O15)</f>
        <v>10620</v>
      </c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>
        <f t="shared" ref="Z16:AC16" si="10">SUM(Z14:Z15)</f>
        <v>10620</v>
      </c>
      <c r="AA16" s="13">
        <f t="shared" si="10"/>
        <v>10620</v>
      </c>
      <c r="AB16" s="13">
        <f t="shared" si="10"/>
        <v>10620</v>
      </c>
      <c r="AC16" s="13">
        <f t="shared" si="10"/>
        <v>10620</v>
      </c>
      <c r="AD16" s="13"/>
      <c r="AE16" s="13"/>
    </row>
    <row r="17" spans="1:31" ht="21" customHeight="1" thickBot="1" x14ac:dyDescent="0.35">
      <c r="A17" s="4" t="s">
        <v>15</v>
      </c>
      <c r="B17" s="13" t="s">
        <v>37</v>
      </c>
      <c r="C17" s="13" t="s">
        <v>37</v>
      </c>
      <c r="D17" s="14"/>
      <c r="E17" s="13" t="s">
        <v>37</v>
      </c>
      <c r="F17" s="13" t="s">
        <v>37</v>
      </c>
      <c r="G17" s="13" t="s">
        <v>37</v>
      </c>
      <c r="H17" s="13" t="s">
        <v>37</v>
      </c>
      <c r="I17" s="13" t="s">
        <v>37</v>
      </c>
      <c r="J17" s="13" t="s">
        <v>37</v>
      </c>
      <c r="K17" s="13" t="s">
        <v>37</v>
      </c>
      <c r="L17" s="14"/>
      <c r="M17" s="13" t="s">
        <v>37</v>
      </c>
      <c r="N17" s="14"/>
      <c r="O17" s="14"/>
      <c r="P17" s="13" t="s">
        <v>42</v>
      </c>
      <c r="Q17" s="13" t="s">
        <v>42</v>
      </c>
      <c r="R17" s="14"/>
      <c r="S17" s="14"/>
      <c r="T17" s="14"/>
      <c r="U17" s="14"/>
      <c r="V17" s="14"/>
      <c r="W17" s="14"/>
      <c r="X17" s="14"/>
      <c r="Y17" s="14"/>
      <c r="Z17" s="13" t="s">
        <v>37</v>
      </c>
      <c r="AA17" s="13" t="s">
        <v>37</v>
      </c>
      <c r="AB17" s="13" t="s">
        <v>37</v>
      </c>
      <c r="AC17" s="13" t="s">
        <v>37</v>
      </c>
      <c r="AD17" s="14"/>
      <c r="AE17" s="14"/>
    </row>
    <row r="18" spans="1:31" ht="41.4" x14ac:dyDescent="0.3">
      <c r="A18" s="3" t="s">
        <v>28</v>
      </c>
      <c r="B18" s="15" t="s">
        <v>32</v>
      </c>
      <c r="C18" s="15" t="s">
        <v>32</v>
      </c>
      <c r="D18" s="15" t="s">
        <v>32</v>
      </c>
      <c r="E18" s="15" t="s">
        <v>33</v>
      </c>
      <c r="F18" s="15" t="s">
        <v>33</v>
      </c>
      <c r="G18" s="15" t="s">
        <v>32</v>
      </c>
      <c r="H18" s="15" t="s">
        <v>33</v>
      </c>
      <c r="I18" s="15" t="s">
        <v>33</v>
      </c>
      <c r="J18" s="15" t="s">
        <v>33</v>
      </c>
      <c r="K18" s="15" t="s">
        <v>33</v>
      </c>
      <c r="L18" s="15" t="s">
        <v>33</v>
      </c>
      <c r="M18" s="15" t="s">
        <v>33</v>
      </c>
      <c r="N18" s="15" t="s">
        <v>33</v>
      </c>
      <c r="O18" s="15" t="s">
        <v>32</v>
      </c>
      <c r="P18" s="15" t="s">
        <v>33</v>
      </c>
      <c r="Q18" s="15" t="s">
        <v>33</v>
      </c>
      <c r="R18" s="15" t="s">
        <v>33</v>
      </c>
      <c r="S18" s="15" t="s">
        <v>33</v>
      </c>
      <c r="T18" s="15" t="s">
        <v>33</v>
      </c>
      <c r="U18" s="15" t="s">
        <v>33</v>
      </c>
      <c r="V18" s="15" t="s">
        <v>33</v>
      </c>
      <c r="W18" s="15" t="s">
        <v>33</v>
      </c>
      <c r="X18" s="15" t="s">
        <v>33</v>
      </c>
      <c r="Y18" s="15" t="s">
        <v>33</v>
      </c>
      <c r="Z18" s="15"/>
      <c r="AA18" s="15"/>
      <c r="AB18" s="15"/>
      <c r="AC18" s="15"/>
      <c r="AD18" s="15" t="s">
        <v>32</v>
      </c>
      <c r="AE18" s="15" t="s">
        <v>32</v>
      </c>
    </row>
    <row r="19" spans="1:31" ht="55.2" x14ac:dyDescent="0.3">
      <c r="A19" s="3" t="s">
        <v>29</v>
      </c>
      <c r="B19" s="15" t="s">
        <v>33</v>
      </c>
      <c r="C19" s="15" t="s">
        <v>32</v>
      </c>
      <c r="D19" s="15" t="s">
        <v>32</v>
      </c>
      <c r="E19" s="15" t="s">
        <v>32</v>
      </c>
      <c r="F19" s="15" t="s">
        <v>32</v>
      </c>
      <c r="G19" s="15" t="s">
        <v>32</v>
      </c>
      <c r="H19" s="15" t="s">
        <v>32</v>
      </c>
      <c r="I19" s="15" t="s">
        <v>32</v>
      </c>
      <c r="J19" s="15" t="s">
        <v>32</v>
      </c>
      <c r="K19" s="15" t="s">
        <v>32</v>
      </c>
      <c r="L19" s="15" t="s">
        <v>32</v>
      </c>
      <c r="M19" s="15" t="s">
        <v>32</v>
      </c>
      <c r="N19" s="15" t="s">
        <v>32</v>
      </c>
      <c r="O19" s="15" t="s">
        <v>32</v>
      </c>
      <c r="P19" s="15" t="s">
        <v>32</v>
      </c>
      <c r="Q19" s="15" t="s">
        <v>32</v>
      </c>
      <c r="R19" s="15" t="s">
        <v>32</v>
      </c>
      <c r="S19" s="15" t="s">
        <v>32</v>
      </c>
      <c r="T19" s="15" t="s">
        <v>32</v>
      </c>
      <c r="U19" s="15" t="s">
        <v>32</v>
      </c>
      <c r="V19" s="15" t="s">
        <v>32</v>
      </c>
      <c r="W19" s="15" t="s">
        <v>32</v>
      </c>
      <c r="X19" s="15" t="s">
        <v>32</v>
      </c>
      <c r="Y19" s="15" t="s">
        <v>32</v>
      </c>
      <c r="Z19" s="15"/>
      <c r="AA19" s="15"/>
      <c r="AB19" s="15"/>
      <c r="AC19" s="15"/>
      <c r="AD19" s="15" t="s">
        <v>32</v>
      </c>
      <c r="AE19" s="15" t="s">
        <v>32</v>
      </c>
    </row>
    <row r="20" spans="1:31" ht="27.6" x14ac:dyDescent="0.3">
      <c r="A20" s="3" t="s">
        <v>43</v>
      </c>
      <c r="B20" s="15" t="s">
        <v>33</v>
      </c>
      <c r="C20" s="15" t="s">
        <v>33</v>
      </c>
      <c r="D20" s="15" t="s">
        <v>32</v>
      </c>
      <c r="E20" s="15" t="s">
        <v>32</v>
      </c>
      <c r="F20" s="15" t="s">
        <v>32</v>
      </c>
      <c r="G20" s="15" t="s">
        <v>33</v>
      </c>
      <c r="H20" s="15" t="s">
        <v>32</v>
      </c>
      <c r="I20" s="15" t="s">
        <v>33</v>
      </c>
      <c r="J20" s="15" t="s">
        <v>33</v>
      </c>
      <c r="K20" s="15" t="s">
        <v>33</v>
      </c>
      <c r="L20" s="15" t="s">
        <v>33</v>
      </c>
      <c r="M20" s="15" t="s">
        <v>33</v>
      </c>
      <c r="N20" s="15" t="s">
        <v>33</v>
      </c>
      <c r="O20" s="15" t="s">
        <v>33</v>
      </c>
      <c r="P20" s="15" t="s">
        <v>33</v>
      </c>
      <c r="Q20" s="15" t="s">
        <v>33</v>
      </c>
      <c r="R20" s="15" t="s">
        <v>33</v>
      </c>
      <c r="S20" s="15" t="s">
        <v>33</v>
      </c>
      <c r="T20" s="15" t="s">
        <v>33</v>
      </c>
      <c r="U20" s="15" t="s">
        <v>33</v>
      </c>
      <c r="V20" s="15" t="s">
        <v>33</v>
      </c>
      <c r="W20" s="15" t="s">
        <v>33</v>
      </c>
      <c r="X20" s="15" t="s">
        <v>33</v>
      </c>
      <c r="Y20" s="15" t="s">
        <v>33</v>
      </c>
      <c r="Z20" s="15"/>
      <c r="AA20" s="15"/>
      <c r="AB20" s="15"/>
      <c r="AC20" s="15"/>
      <c r="AD20" s="15" t="s">
        <v>33</v>
      </c>
      <c r="AE20" s="15" t="s">
        <v>33</v>
      </c>
    </row>
    <row r="21" spans="1:31" ht="27.6" x14ac:dyDescent="0.3">
      <c r="A21" s="3" t="s">
        <v>30</v>
      </c>
      <c r="B21" s="15" t="s">
        <v>33</v>
      </c>
      <c r="C21" s="15" t="s">
        <v>33</v>
      </c>
      <c r="D21" s="15" t="s">
        <v>32</v>
      </c>
      <c r="E21" s="15" t="s">
        <v>32</v>
      </c>
      <c r="F21" s="15" t="s">
        <v>32</v>
      </c>
      <c r="G21" s="15" t="s">
        <v>32</v>
      </c>
      <c r="H21" s="15" t="s">
        <v>32</v>
      </c>
      <c r="I21" s="15" t="s">
        <v>33</v>
      </c>
      <c r="J21" s="15" t="s">
        <v>33</v>
      </c>
      <c r="K21" s="15" t="s">
        <v>33</v>
      </c>
      <c r="L21" s="15" t="s">
        <v>33</v>
      </c>
      <c r="M21" s="15" t="s">
        <v>33</v>
      </c>
      <c r="N21" s="15" t="s">
        <v>33</v>
      </c>
      <c r="O21" s="15" t="s">
        <v>33</v>
      </c>
      <c r="P21" s="15" t="s">
        <v>33</v>
      </c>
      <c r="Q21" s="15" t="s">
        <v>33</v>
      </c>
      <c r="R21" s="15" t="s">
        <v>33</v>
      </c>
      <c r="S21" s="15" t="s">
        <v>33</v>
      </c>
      <c r="T21" s="15" t="s">
        <v>33</v>
      </c>
      <c r="U21" s="15" t="s">
        <v>33</v>
      </c>
      <c r="V21" s="15" t="s">
        <v>33</v>
      </c>
      <c r="W21" s="15" t="s">
        <v>33</v>
      </c>
      <c r="X21" s="15" t="s">
        <v>33</v>
      </c>
      <c r="Y21" s="15" t="s">
        <v>33</v>
      </c>
      <c r="Z21" s="15"/>
      <c r="AA21" s="15"/>
      <c r="AB21" s="15"/>
      <c r="AC21" s="15"/>
      <c r="AD21" s="15" t="s">
        <v>33</v>
      </c>
      <c r="AE21" s="15" t="s">
        <v>33</v>
      </c>
    </row>
    <row r="27" spans="1:31" ht="15.6" customHeight="1" x14ac:dyDescent="0.3">
      <c r="A27" s="35" t="s">
        <v>127</v>
      </c>
      <c r="B27" s="39" t="s">
        <v>126</v>
      </c>
      <c r="C27" s="39"/>
      <c r="D27" s="39"/>
      <c r="E27" s="39"/>
      <c r="F27" s="39"/>
      <c r="G27" s="39"/>
      <c r="H27" s="39"/>
      <c r="I27" s="39"/>
      <c r="J27" s="39"/>
      <c r="K27" s="39"/>
    </row>
    <row r="28" spans="1:31" x14ac:dyDescent="0.3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31" ht="15.6" customHeight="1" x14ac:dyDescent="0.3">
      <c r="A29" s="35" t="s">
        <v>129</v>
      </c>
      <c r="B29" s="39" t="s">
        <v>128</v>
      </c>
      <c r="C29" s="39"/>
      <c r="D29" s="39"/>
      <c r="E29" s="39"/>
      <c r="F29" s="39"/>
      <c r="G29" s="39"/>
      <c r="H29" s="39"/>
      <c r="I29" s="39"/>
      <c r="J29" s="39"/>
      <c r="K29" s="39"/>
    </row>
    <row r="30" spans="1:31" x14ac:dyDescent="0.3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31" ht="16.2" customHeight="1" x14ac:dyDescent="0.3">
      <c r="A31" s="35" t="s">
        <v>131</v>
      </c>
      <c r="B31" s="39" t="s">
        <v>130</v>
      </c>
      <c r="C31" s="39"/>
      <c r="D31" s="39"/>
      <c r="E31" s="39"/>
      <c r="F31" s="39"/>
      <c r="G31" s="39"/>
      <c r="H31" s="39"/>
      <c r="I31" s="39"/>
      <c r="J31" s="39"/>
      <c r="K31" s="39"/>
    </row>
    <row r="32" spans="1:31" x14ac:dyDescent="0.3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 ht="22.2" customHeight="1" x14ac:dyDescent="0.3">
      <c r="A33" s="35" t="s">
        <v>133</v>
      </c>
      <c r="B33" s="39" t="s">
        <v>132</v>
      </c>
      <c r="C33" s="39"/>
      <c r="D33" s="39"/>
      <c r="E33" s="39"/>
      <c r="F33" s="39"/>
      <c r="G33" s="39"/>
      <c r="H33" s="39"/>
      <c r="I33" s="39"/>
      <c r="J33" s="39"/>
      <c r="K33" s="39"/>
    </row>
    <row r="34" spans="1:11" x14ac:dyDescent="0.3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 ht="17.399999999999999" customHeight="1" x14ac:dyDescent="0.3">
      <c r="A35" s="35" t="s">
        <v>135</v>
      </c>
      <c r="B35" s="39" t="s">
        <v>134</v>
      </c>
      <c r="C35" s="39"/>
      <c r="D35" s="39"/>
      <c r="E35" s="39"/>
      <c r="F35" s="39"/>
      <c r="G35" s="39"/>
      <c r="H35" s="39"/>
      <c r="I35" s="39"/>
      <c r="J35" s="39"/>
      <c r="K35" s="39"/>
    </row>
  </sheetData>
  <mergeCells count="16">
    <mergeCell ref="B35:K35"/>
    <mergeCell ref="J10:K10"/>
    <mergeCell ref="J11:K11"/>
    <mergeCell ref="J13:K13"/>
    <mergeCell ref="J14:K14"/>
    <mergeCell ref="J15:K15"/>
    <mergeCell ref="J16:K16"/>
    <mergeCell ref="A28:K28"/>
    <mergeCell ref="A30:K30"/>
    <mergeCell ref="B29:K29"/>
    <mergeCell ref="B31:K31"/>
    <mergeCell ref="A9:AE9"/>
    <mergeCell ref="B27:K27"/>
    <mergeCell ref="A32:K32"/>
    <mergeCell ref="A34:K34"/>
    <mergeCell ref="B33:K33"/>
  </mergeCells>
  <conditionalFormatting sqref="B18:AE21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E7"/>
  <sheetViews>
    <sheetView workbookViewId="0">
      <selection activeCell="B2" sqref="B2:E7"/>
    </sheetView>
  </sheetViews>
  <sheetFormatPr defaultRowHeight="14.4" x14ac:dyDescent="0.3"/>
  <sheetData>
    <row r="2" spans="2:5" x14ac:dyDescent="0.3">
      <c r="B2">
        <v>1</v>
      </c>
      <c r="C2" s="16" t="s">
        <v>108</v>
      </c>
    </row>
    <row r="3" spans="2:5" x14ac:dyDescent="0.3">
      <c r="C3" s="16" t="s">
        <v>109</v>
      </c>
      <c r="D3" s="16" t="s">
        <v>110</v>
      </c>
      <c r="E3" s="16" t="s">
        <v>111</v>
      </c>
    </row>
    <row r="4" spans="2:5" x14ac:dyDescent="0.3">
      <c r="C4" t="s">
        <v>112</v>
      </c>
      <c r="D4" t="s">
        <v>39</v>
      </c>
      <c r="E4" t="s">
        <v>39</v>
      </c>
    </row>
    <row r="5" spans="2:5" x14ac:dyDescent="0.3">
      <c r="C5" t="s">
        <v>113</v>
      </c>
      <c r="D5" t="s">
        <v>38</v>
      </c>
      <c r="E5" t="s">
        <v>41</v>
      </c>
    </row>
    <row r="6" spans="2:5" x14ac:dyDescent="0.3">
      <c r="C6" t="s">
        <v>114</v>
      </c>
      <c r="D6" t="s">
        <v>115</v>
      </c>
      <c r="E6" t="s">
        <v>38</v>
      </c>
    </row>
    <row r="7" spans="2:5" x14ac:dyDescent="0.3">
      <c r="E7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6"/>
  <sheetViews>
    <sheetView topLeftCell="A62" workbookViewId="0">
      <selection activeCell="B83" sqref="B83"/>
    </sheetView>
  </sheetViews>
  <sheetFormatPr defaultRowHeight="14.4" x14ac:dyDescent="0.3"/>
  <cols>
    <col min="2" max="2" width="7.6640625" style="17" customWidth="1"/>
    <col min="3" max="3" width="61.88671875" customWidth="1"/>
  </cols>
  <sheetData>
    <row r="1" spans="1:3" x14ac:dyDescent="0.3">
      <c r="A1" s="22" t="s">
        <v>44</v>
      </c>
      <c r="B1" s="21" t="s">
        <v>59</v>
      </c>
      <c r="C1" s="22" t="s">
        <v>60</v>
      </c>
    </row>
    <row r="2" spans="1:3" x14ac:dyDescent="0.3">
      <c r="B2" s="23">
        <v>1</v>
      </c>
      <c r="C2" s="24" t="s">
        <v>45</v>
      </c>
    </row>
    <row r="3" spans="1:3" ht="16.8" x14ac:dyDescent="0.4">
      <c r="B3" s="23">
        <v>2</v>
      </c>
      <c r="C3" s="25" t="s">
        <v>46</v>
      </c>
    </row>
    <row r="4" spans="1:3" x14ac:dyDescent="0.3">
      <c r="B4" s="23">
        <v>3</v>
      </c>
      <c r="C4" s="24" t="s">
        <v>47</v>
      </c>
    </row>
    <row r="5" spans="1:3" x14ac:dyDescent="0.3">
      <c r="B5" s="23">
        <v>4</v>
      </c>
      <c r="C5" s="24" t="s">
        <v>48</v>
      </c>
    </row>
    <row r="6" spans="1:3" x14ac:dyDescent="0.3">
      <c r="B6" s="23">
        <v>5</v>
      </c>
      <c r="C6" s="24" t="s">
        <v>49</v>
      </c>
    </row>
    <row r="7" spans="1:3" x14ac:dyDescent="0.3">
      <c r="B7" s="23">
        <v>6</v>
      </c>
      <c r="C7" s="24" t="s">
        <v>50</v>
      </c>
    </row>
    <row r="8" spans="1:3" x14ac:dyDescent="0.3">
      <c r="B8" s="23">
        <v>7</v>
      </c>
      <c r="C8" s="24" t="s">
        <v>51</v>
      </c>
    </row>
    <row r="9" spans="1:3" x14ac:dyDescent="0.3">
      <c r="B9" s="23">
        <v>8</v>
      </c>
      <c r="C9" s="24" t="s">
        <v>52</v>
      </c>
    </row>
    <row r="10" spans="1:3" x14ac:dyDescent="0.3">
      <c r="B10" s="23">
        <v>9</v>
      </c>
      <c r="C10" s="24" t="s">
        <v>53</v>
      </c>
    </row>
    <row r="11" spans="1:3" x14ac:dyDescent="0.3">
      <c r="B11" s="23">
        <v>10</v>
      </c>
      <c r="C11" s="24" t="s">
        <v>54</v>
      </c>
    </row>
    <row r="12" spans="1:3" x14ac:dyDescent="0.3">
      <c r="B12" s="23"/>
      <c r="C12" s="24"/>
    </row>
    <row r="13" spans="1:3" x14ac:dyDescent="0.3">
      <c r="B13" s="23"/>
      <c r="C13" s="18" t="s">
        <v>55</v>
      </c>
    </row>
    <row r="14" spans="1:3" ht="32.25" customHeight="1" x14ac:dyDescent="0.3">
      <c r="B14" s="23"/>
      <c r="C14" s="19" t="s">
        <v>56</v>
      </c>
    </row>
    <row r="15" spans="1:3" x14ac:dyDescent="0.3">
      <c r="B15" s="23"/>
      <c r="C15" s="20"/>
    </row>
    <row r="16" spans="1:3" x14ac:dyDescent="0.3">
      <c r="B16" s="23"/>
      <c r="C16" s="18" t="s">
        <v>57</v>
      </c>
    </row>
    <row r="17" spans="1:3" ht="35.25" customHeight="1" x14ac:dyDescent="0.3">
      <c r="B17" s="23"/>
      <c r="C17" s="19" t="s">
        <v>58</v>
      </c>
    </row>
    <row r="20" spans="1:3" x14ac:dyDescent="0.3">
      <c r="A20" s="22" t="s">
        <v>61</v>
      </c>
      <c r="B20" s="21" t="s">
        <v>59</v>
      </c>
      <c r="C20" s="22" t="s">
        <v>60</v>
      </c>
    </row>
    <row r="21" spans="1:3" x14ac:dyDescent="0.3">
      <c r="A21" s="16"/>
      <c r="B21" s="21"/>
      <c r="C21" s="22" t="s">
        <v>62</v>
      </c>
    </row>
    <row r="22" spans="1:3" x14ac:dyDescent="0.3">
      <c r="B22" s="23">
        <v>1</v>
      </c>
      <c r="C22" s="24" t="s">
        <v>66</v>
      </c>
    </row>
    <row r="23" spans="1:3" ht="16.8" x14ac:dyDescent="0.4">
      <c r="B23" s="23">
        <v>2</v>
      </c>
      <c r="C23" s="25" t="s">
        <v>65</v>
      </c>
    </row>
    <row r="24" spans="1:3" x14ac:dyDescent="0.3">
      <c r="B24" s="23">
        <v>3</v>
      </c>
      <c r="C24" s="24" t="s">
        <v>64</v>
      </c>
    </row>
    <row r="25" spans="1:3" x14ac:dyDescent="0.3">
      <c r="B25" s="23">
        <v>4</v>
      </c>
      <c r="C25" s="24" t="s">
        <v>63</v>
      </c>
    </row>
    <row r="26" spans="1:3" x14ac:dyDescent="0.3">
      <c r="B26" s="23"/>
      <c r="C26" s="22" t="s">
        <v>71</v>
      </c>
    </row>
    <row r="27" spans="1:3" x14ac:dyDescent="0.3">
      <c r="B27" s="23">
        <v>5</v>
      </c>
      <c r="C27" s="24" t="s">
        <v>67</v>
      </c>
    </row>
    <row r="28" spans="1:3" x14ac:dyDescent="0.3">
      <c r="B28" s="23">
        <v>6</v>
      </c>
      <c r="C28" s="24" t="s">
        <v>68</v>
      </c>
    </row>
    <row r="29" spans="1:3" x14ac:dyDescent="0.3">
      <c r="B29" s="23">
        <v>7</v>
      </c>
      <c r="C29" s="24" t="s">
        <v>69</v>
      </c>
    </row>
    <row r="30" spans="1:3" x14ac:dyDescent="0.3">
      <c r="B30" s="23">
        <v>8</v>
      </c>
      <c r="C30" s="24" t="s">
        <v>70</v>
      </c>
    </row>
    <row r="31" spans="1:3" x14ac:dyDescent="0.3">
      <c r="B31" s="23"/>
      <c r="C31" s="24"/>
    </row>
    <row r="32" spans="1:3" x14ac:dyDescent="0.3">
      <c r="B32" s="23"/>
      <c r="C32" s="26" t="s">
        <v>55</v>
      </c>
    </row>
    <row r="33" spans="1:3" ht="27" customHeight="1" x14ac:dyDescent="0.3">
      <c r="B33" s="23"/>
      <c r="C33" s="27" t="s">
        <v>72</v>
      </c>
    </row>
    <row r="34" spans="1:3" x14ac:dyDescent="0.3">
      <c r="B34" s="23"/>
      <c r="C34" s="26" t="s">
        <v>73</v>
      </c>
    </row>
    <row r="35" spans="1:3" ht="28.8" x14ac:dyDescent="0.3">
      <c r="B35" s="23"/>
      <c r="C35" s="27" t="s">
        <v>74</v>
      </c>
    </row>
    <row r="37" spans="1:3" x14ac:dyDescent="0.3">
      <c r="A37" s="24" t="s">
        <v>80</v>
      </c>
      <c r="B37" s="21" t="s">
        <v>59</v>
      </c>
      <c r="C37" s="22" t="s">
        <v>60</v>
      </c>
    </row>
    <row r="38" spans="1:3" x14ac:dyDescent="0.3">
      <c r="B38" s="21"/>
      <c r="C38" s="22" t="s">
        <v>76</v>
      </c>
    </row>
    <row r="39" spans="1:3" x14ac:dyDescent="0.3">
      <c r="B39" s="23">
        <v>1</v>
      </c>
      <c r="C39" s="24" t="s">
        <v>77</v>
      </c>
    </row>
    <row r="40" spans="1:3" ht="16.8" x14ac:dyDescent="0.4">
      <c r="B40" s="23">
        <v>2</v>
      </c>
      <c r="C40" s="25" t="s">
        <v>78</v>
      </c>
    </row>
    <row r="41" spans="1:3" x14ac:dyDescent="0.3">
      <c r="B41" s="23">
        <v>3</v>
      </c>
      <c r="C41" s="24" t="s">
        <v>79</v>
      </c>
    </row>
    <row r="42" spans="1:3" x14ac:dyDescent="0.3">
      <c r="B42" s="23"/>
      <c r="C42" s="22" t="s">
        <v>81</v>
      </c>
    </row>
    <row r="43" spans="1:3" x14ac:dyDescent="0.3">
      <c r="B43" s="23">
        <v>4</v>
      </c>
      <c r="C43" s="24" t="s">
        <v>82</v>
      </c>
    </row>
    <row r="44" spans="1:3" x14ac:dyDescent="0.3">
      <c r="B44" s="23">
        <v>5</v>
      </c>
      <c r="C44" s="24" t="s">
        <v>83</v>
      </c>
    </row>
    <row r="45" spans="1:3" x14ac:dyDescent="0.3">
      <c r="B45" s="23">
        <v>6</v>
      </c>
      <c r="C45" s="24" t="s">
        <v>84</v>
      </c>
    </row>
    <row r="46" spans="1:3" x14ac:dyDescent="0.3">
      <c r="B46" s="23">
        <v>7</v>
      </c>
      <c r="C46" s="24" t="s">
        <v>85</v>
      </c>
    </row>
    <row r="47" spans="1:3" x14ac:dyDescent="0.3">
      <c r="B47" s="23">
        <v>8</v>
      </c>
      <c r="C47" s="24" t="s">
        <v>86</v>
      </c>
    </row>
    <row r="48" spans="1:3" x14ac:dyDescent="0.3">
      <c r="B48" s="23">
        <v>9</v>
      </c>
      <c r="C48" s="24" t="s">
        <v>87</v>
      </c>
    </row>
    <row r="49" spans="1:4" x14ac:dyDescent="0.3">
      <c r="B49" s="23">
        <v>10</v>
      </c>
      <c r="C49" s="24" t="s">
        <v>88</v>
      </c>
    </row>
    <row r="50" spans="1:4" x14ac:dyDescent="0.3">
      <c r="B50" s="23"/>
      <c r="C50" s="22" t="s">
        <v>89</v>
      </c>
    </row>
    <row r="51" spans="1:4" x14ac:dyDescent="0.3">
      <c r="B51" s="23">
        <v>11</v>
      </c>
      <c r="C51" s="24" t="s">
        <v>90</v>
      </c>
    </row>
    <row r="52" spans="1:4" x14ac:dyDescent="0.3">
      <c r="B52" s="23">
        <v>12</v>
      </c>
      <c r="C52" s="24" t="s">
        <v>91</v>
      </c>
    </row>
    <row r="53" spans="1:4" x14ac:dyDescent="0.3">
      <c r="B53" s="23">
        <v>13</v>
      </c>
      <c r="C53" s="24" t="s">
        <v>92</v>
      </c>
    </row>
    <row r="54" spans="1:4" x14ac:dyDescent="0.3">
      <c r="B54" s="23">
        <v>14</v>
      </c>
      <c r="C54" s="24" t="s">
        <v>93</v>
      </c>
    </row>
    <row r="55" spans="1:4" x14ac:dyDescent="0.3">
      <c r="B55" s="23">
        <v>15</v>
      </c>
      <c r="C55" s="24" t="s">
        <v>94</v>
      </c>
    </row>
    <row r="57" spans="1:4" x14ac:dyDescent="0.3">
      <c r="A57" s="24" t="s">
        <v>75</v>
      </c>
      <c r="B57" s="21" t="s">
        <v>59</v>
      </c>
      <c r="C57" s="22" t="s">
        <v>60</v>
      </c>
      <c r="D57" s="22" t="s">
        <v>107</v>
      </c>
    </row>
    <row r="58" spans="1:4" x14ac:dyDescent="0.3">
      <c r="B58" s="21"/>
      <c r="C58" s="22" t="s">
        <v>105</v>
      </c>
      <c r="D58" s="45">
        <v>80</v>
      </c>
    </row>
    <row r="59" spans="1:4" x14ac:dyDescent="0.3">
      <c r="B59" s="21"/>
      <c r="C59" s="22" t="s">
        <v>95</v>
      </c>
      <c r="D59" s="46"/>
    </row>
    <row r="60" spans="1:4" x14ac:dyDescent="0.3">
      <c r="B60" s="23">
        <v>1</v>
      </c>
      <c r="C60" s="24" t="s">
        <v>96</v>
      </c>
      <c r="D60" s="46"/>
    </row>
    <row r="61" spans="1:4" ht="16.8" x14ac:dyDescent="0.4">
      <c r="B61" s="23">
        <v>2</v>
      </c>
      <c r="C61" s="25" t="s">
        <v>97</v>
      </c>
      <c r="D61" s="46"/>
    </row>
    <row r="62" spans="1:4" x14ac:dyDescent="0.3">
      <c r="B62" s="23"/>
      <c r="C62" s="22" t="s">
        <v>81</v>
      </c>
      <c r="D62" s="46"/>
    </row>
    <row r="63" spans="1:4" ht="16.2" x14ac:dyDescent="0.35">
      <c r="B63" s="23">
        <v>3</v>
      </c>
      <c r="C63" s="28" t="s">
        <v>92</v>
      </c>
      <c r="D63" s="46"/>
    </row>
    <row r="64" spans="1:4" ht="16.2" x14ac:dyDescent="0.35">
      <c r="B64" s="23">
        <v>4</v>
      </c>
      <c r="C64" s="28" t="s">
        <v>102</v>
      </c>
      <c r="D64" s="46"/>
    </row>
    <row r="65" spans="2:4" ht="16.2" x14ac:dyDescent="0.35">
      <c r="B65" s="23">
        <v>5</v>
      </c>
      <c r="C65" s="28" t="s">
        <v>83</v>
      </c>
      <c r="D65" s="46"/>
    </row>
    <row r="66" spans="2:4" ht="16.2" x14ac:dyDescent="0.35">
      <c r="B66" s="23">
        <v>6</v>
      </c>
      <c r="C66" s="28" t="s">
        <v>101</v>
      </c>
      <c r="D66" s="46"/>
    </row>
    <row r="67" spans="2:4" ht="16.2" x14ac:dyDescent="0.35">
      <c r="B67" s="23">
        <v>7</v>
      </c>
      <c r="C67" s="28" t="s">
        <v>85</v>
      </c>
      <c r="D67" s="46"/>
    </row>
    <row r="68" spans="2:4" ht="16.2" x14ac:dyDescent="0.35">
      <c r="B68" s="23">
        <v>8</v>
      </c>
      <c r="C68" s="28" t="s">
        <v>100</v>
      </c>
      <c r="D68" s="46"/>
    </row>
    <row r="69" spans="2:4" ht="16.2" x14ac:dyDescent="0.35">
      <c r="B69" s="23">
        <v>9</v>
      </c>
      <c r="C69" s="28" t="s">
        <v>99</v>
      </c>
      <c r="D69" s="46"/>
    </row>
    <row r="70" spans="2:4" ht="16.2" x14ac:dyDescent="0.35">
      <c r="B70" s="23">
        <v>10</v>
      </c>
      <c r="C70" s="28" t="s">
        <v>98</v>
      </c>
      <c r="D70" s="46"/>
    </row>
    <row r="71" spans="2:4" ht="16.2" x14ac:dyDescent="0.35">
      <c r="B71" s="23">
        <v>11</v>
      </c>
      <c r="C71" s="28" t="s">
        <v>91</v>
      </c>
      <c r="D71" s="46"/>
    </row>
    <row r="72" spans="2:4" ht="16.2" x14ac:dyDescent="0.35">
      <c r="B72" s="23"/>
      <c r="C72" s="29" t="s">
        <v>89</v>
      </c>
      <c r="D72" s="46"/>
    </row>
    <row r="73" spans="2:4" ht="16.2" x14ac:dyDescent="0.35">
      <c r="B73" s="23">
        <v>12</v>
      </c>
      <c r="C73" s="28" t="s">
        <v>103</v>
      </c>
      <c r="D73" s="46"/>
    </row>
    <row r="74" spans="2:4" ht="16.2" x14ac:dyDescent="0.35">
      <c r="B74" s="30">
        <v>13</v>
      </c>
      <c r="C74" s="31" t="s">
        <v>104</v>
      </c>
      <c r="D74" s="47"/>
    </row>
    <row r="75" spans="2:4" ht="16.2" x14ac:dyDescent="0.35">
      <c r="B75" s="23"/>
      <c r="C75" s="29" t="s">
        <v>106</v>
      </c>
      <c r="D75" s="24">
        <v>20</v>
      </c>
    </row>
    <row r="76" spans="2:4" ht="16.2" x14ac:dyDescent="0.35">
      <c r="B76" s="23"/>
      <c r="C76" s="29" t="s">
        <v>14</v>
      </c>
      <c r="D76" s="24">
        <f>SUM(D58:D75)</f>
        <v>100</v>
      </c>
    </row>
  </sheetData>
  <mergeCells count="1">
    <mergeCell ref="D58:D7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Scope</vt:lpstr>
      <vt:lpstr>Sheet1</vt:lpstr>
      <vt:lpstr>ICSE Syllabus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2023-07-03T06:09:22Z</dcterms:modified>
</cp:coreProperties>
</file>